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pb99\Downloads\"/>
    </mc:Choice>
  </mc:AlternateContent>
  <xr:revisionPtr revIDLastSave="0" documentId="13_ncr:1_{31134903-46A8-495E-A5B0-223FE79B648C}" xr6:coauthVersionLast="47" xr6:coauthVersionMax="47" xr10:uidLastSave="{00000000-0000-0000-0000-000000000000}"/>
  <bookViews>
    <workbookView xWindow="20" yWindow="380" windowWidth="19180" windowHeight="11280" xr2:uid="{BDDECA2D-BA02-4CF3-A92E-FA0B7FB112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K6" i="1"/>
  <c r="K7" i="1"/>
  <c r="K8" i="1"/>
  <c r="K9" i="1"/>
  <c r="K10" i="1"/>
  <c r="K4" i="1"/>
  <c r="G6" i="1"/>
  <c r="G9" i="1"/>
  <c r="G8" i="1"/>
  <c r="H8" i="1"/>
  <c r="G7" i="1"/>
  <c r="I5" i="1"/>
  <c r="D5" i="1"/>
  <c r="H5" i="1" s="1"/>
  <c r="G10" i="1"/>
  <c r="I10" i="1"/>
  <c r="I9" i="1"/>
  <c r="I4" i="1"/>
  <c r="I6" i="1"/>
  <c r="J6" i="1"/>
  <c r="J5" i="1"/>
  <c r="J7" i="1"/>
  <c r="J8" i="1"/>
  <c r="J9" i="1"/>
  <c r="J10" i="1"/>
  <c r="G4" i="1"/>
  <c r="H6" i="1"/>
  <c r="H7" i="1"/>
  <c r="H9" i="1"/>
  <c r="H10" i="1"/>
  <c r="J4" i="1"/>
  <c r="H4" i="1"/>
</calcChain>
</file>

<file path=xl/sharedStrings.xml><?xml version="1.0" encoding="utf-8"?>
<sst xmlns="http://schemas.openxmlformats.org/spreadsheetml/2006/main" count="50" uniqueCount="45">
  <si>
    <t>Jet-A</t>
  </si>
  <si>
    <t>Notes</t>
  </si>
  <si>
    <t>Fuel</t>
  </si>
  <si>
    <t>MFG Difficulty</t>
  </si>
  <si>
    <t>Easy</t>
  </si>
  <si>
    <t>- Flammable, anti-static</t>
  </si>
  <si>
    <t>Volume Required for 737-800 Energy Capacity
(m^3)</t>
  </si>
  <si>
    <t>Lithium-Ion Batteries</t>
  </si>
  <si>
    <t>SAF Biofuel</t>
  </si>
  <si>
    <t>Cost per MJ
(USD)</t>
  </si>
  <si>
    <t>Specific Energy
(MJ/kg)</t>
  </si>
  <si>
    <t>Density
(kg/L)</t>
  </si>
  <si>
    <t>Liquid Hydrogen</t>
  </si>
  <si>
    <t>Storage Requirements</t>
  </si>
  <si>
    <r>
      <t>CO</t>
    </r>
    <r>
      <rPr>
        <b/>
        <sz val="11"/>
        <color theme="1"/>
        <rFont val="Calibri"/>
        <family val="2"/>
      </rPr>
      <t>₂</t>
    </r>
    <r>
      <rPr>
        <b/>
        <sz val="11"/>
        <color theme="1"/>
        <rFont val="Calibri"/>
        <family val="2"/>
        <scheme val="minor"/>
      </rPr>
      <t xml:space="preserve"> per Liter
(kg/L)</t>
    </r>
  </si>
  <si>
    <r>
      <t>CO</t>
    </r>
    <r>
      <rPr>
        <b/>
        <sz val="11"/>
        <color theme="1"/>
        <rFont val="Calibri"/>
        <family val="2"/>
      </rPr>
      <t>₂</t>
    </r>
    <r>
      <rPr>
        <b/>
        <sz val="11"/>
        <color theme="1"/>
        <rFont val="Calibri"/>
        <family val="2"/>
        <scheme val="minor"/>
      </rPr>
      <t xml:space="preserve"> Emissions per MJ
(kg/MJ)</t>
    </r>
  </si>
  <si>
    <t>Some fuel suggestions</t>
  </si>
  <si>
    <t>What other fuels should we consider?</t>
  </si>
  <si>
    <t>What other measurements could be important?</t>
  </si>
  <si>
    <t>Liquid Natural Gas</t>
  </si>
  <si>
    <t xml:space="preserve"> - Shielding of at least 150 cubic ft of lead</t>
  </si>
  <si>
    <t>PtL Liquid Hydrocarbon</t>
  </si>
  <si>
    <t xml:space="preserve"> - High weight requirement with a low specific energy, not feasible</t>
  </si>
  <si>
    <t>Molten Salt Reactor</t>
  </si>
  <si>
    <t>Weight Required for 737-800 (kg)</t>
  </si>
  <si>
    <t xml:space="preserve"> - Rated for seismic impact, cryogenic temperatures</t>
  </si>
  <si>
    <t xml:space="preserve"> - Cool, dry, well-ventilated</t>
  </si>
  <si>
    <t>Complex</t>
  </si>
  <si>
    <t>Highly Complex</t>
  </si>
  <si>
    <t>Highly Complex (to achieve viable use)</t>
  </si>
  <si>
    <t>Long Term Material Availability</t>
  </si>
  <si>
    <t>High</t>
  </si>
  <si>
    <t>High (depending on creation and advancements of reactors)</t>
  </si>
  <si>
    <t>Very High</t>
  </si>
  <si>
    <t xml:space="preserve"> Moderately Complex (due to created manufacturing processes)</t>
  </si>
  <si>
    <t xml:space="preserve"> - Current standard for alternative fuel</t>
  </si>
  <si>
    <r>
      <t xml:space="preserve">  - Constrained by renewable energy and captured CO</t>
    </r>
    <r>
      <rPr>
        <vertAlign val="subscript"/>
        <sz val="11"/>
        <color theme="1"/>
        <rFont val="Calibri"/>
        <family val="2"/>
        <scheme val="minor"/>
      </rPr>
      <t>2</t>
    </r>
  </si>
  <si>
    <t>Moderate (finite natural gas reserves)</t>
  </si>
  <si>
    <t xml:space="preserve"> - The low weight and volume listed does not include heavy safety measures, making this the heaviest option, protective lead adds 48,000 kg (variable based on design, but Total aircraft system would require reactor, shielding, heat exchangers, containment, and safety systems)</t>
  </si>
  <si>
    <t>- Flammable, anti-static, cryogenic capability</t>
  </si>
  <si>
    <t>Moderate (critical minerals are limited but recyclable)</t>
  </si>
  <si>
    <t>Moderate (dependent on finite petroleum reserves)</t>
  </si>
  <si>
    <t>- Kerosene based
- Current standard for commercial airliners
- Well-established production and delivery infrastructure
- Above desired pollution levels</t>
  </si>
  <si>
    <r>
      <t xml:space="preserve"> - Lower CO</t>
    </r>
    <r>
      <rPr>
        <vertAlign val="subscript"/>
        <sz val="11"/>
        <color theme="1"/>
        <rFont val="Calibri"/>
        <family val="2"/>
        <scheme val="minor"/>
      </rPr>
      <t>2</t>
    </r>
    <r>
      <rPr>
        <sz val="11"/>
        <color theme="1"/>
        <rFont val="Calibri"/>
        <family val="2"/>
        <scheme val="minor"/>
      </rPr>
      <t xml:space="preserve"> emissions, well established production and supply lines. Higher required volume, but lower weight. Possible methane leakage poses environmental dangers</t>
    </r>
  </si>
  <si>
    <t xml:space="preserve"> - High specific energy, relatively cheap, volume may be reduced with increased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</si>
</sst>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00"/>
    <numFmt numFmtId="165" formatCode="0.0000"/>
    <numFmt numFmtId="169" formatCode="&quot;$&quot;#,##0.00"/>
  </numFmts>
  <fonts count="4" x14ac:knownFonts="1">
    <font>
      <sz val="11"/>
      <color theme="1"/>
      <name val="Calibri"/>
      <family val="2"/>
      <scheme val="minor"/>
    </font>
    <font>
      <b/>
      <sz val="11"/>
      <color theme="1"/>
      <name val="Calibri"/>
      <family val="2"/>
      <scheme val="minor"/>
    </font>
    <font>
      <b/>
      <sz val="11"/>
      <color theme="1"/>
      <name val="Calibri"/>
      <family val="2"/>
    </font>
    <font>
      <vertAlign val="subscrip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39997558519241921"/>
        <bgColor indexed="64"/>
      </patternFill>
    </fill>
  </fills>
  <borders count="9">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
    <xf numFmtId="0" fontId="0" fillId="0" borderId="0"/>
  </cellStyleXfs>
  <cellXfs count="2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164" fontId="0" fillId="0" borderId="0" xfId="0" applyNumberFormat="1" applyAlignment="1">
      <alignment horizontal="center" vertical="center" wrapText="1"/>
    </xf>
    <xf numFmtId="2" fontId="0" fillId="0" borderId="0" xfId="0" applyNumberFormat="1" applyAlignment="1">
      <alignment horizontal="center" vertical="center" wrapText="1"/>
    </xf>
    <xf numFmtId="0" fontId="0" fillId="0" borderId="0" xfId="0" quotePrefix="1" applyAlignment="1">
      <alignment vertical="center" wrapText="1"/>
    </xf>
    <xf numFmtId="0" fontId="0" fillId="0" borderId="1" xfId="0" quotePrefix="1" applyBorder="1"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2" fontId="0" fillId="0" borderId="2" xfId="0" applyNumberFormat="1" applyBorder="1" applyAlignment="1">
      <alignment horizontal="center" vertical="center" wrapText="1"/>
    </xf>
    <xf numFmtId="0" fontId="0" fillId="0" borderId="3" xfId="0"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left" vertical="center" wrapText="1"/>
    </xf>
    <xf numFmtId="0" fontId="0" fillId="0" borderId="7" xfId="0" applyBorder="1" applyAlignment="1">
      <alignment horizontal="center" vertical="center" wrapText="1"/>
    </xf>
    <xf numFmtId="165" fontId="0" fillId="0" borderId="0" xfId="0" applyNumberFormat="1" applyAlignment="1">
      <alignment horizontal="center" vertical="center" wrapText="1"/>
    </xf>
    <xf numFmtId="165" fontId="0" fillId="0" borderId="2" xfId="0" applyNumberFormat="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1" fillId="2" borderId="5" xfId="0" applyFont="1" applyFill="1" applyBorder="1" applyAlignment="1">
      <alignment horizontal="center" vertical="center" wrapText="1"/>
    </xf>
    <xf numFmtId="0" fontId="0" fillId="3" borderId="7"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2" xfId="0" quotePrefix="1" applyBorder="1" applyAlignment="1">
      <alignment vertical="center" wrapText="1"/>
    </xf>
    <xf numFmtId="169"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epa.gov/sites/default/files/2015-07/documents/emission-factors_2014.pdf" TargetMode="External"/></Relationships>
</file>

<file path=xl/drawings/drawing1.xml><?xml version="1.0" encoding="utf-8"?>
<xdr:wsDr xmlns:xdr="http://schemas.openxmlformats.org/drawingml/2006/spreadsheetDrawing" xmlns:a="http://schemas.openxmlformats.org/drawingml/2006/main">
  <xdr:twoCellAnchor>
    <xdr:from>
      <xdr:col>1</xdr:col>
      <xdr:colOff>552450</xdr:colOff>
      <xdr:row>11</xdr:row>
      <xdr:rowOff>19050</xdr:rowOff>
    </xdr:from>
    <xdr:to>
      <xdr:col>4</xdr:col>
      <xdr:colOff>485775</xdr:colOff>
      <xdr:row>17</xdr:row>
      <xdr:rowOff>38100</xdr:rowOff>
    </xdr:to>
    <xdr:sp macro="" textlink="">
      <xdr:nvSpPr>
        <xdr:cNvPr id="2" name="TextBox 1">
          <a:extLst>
            <a:ext uri="{FF2B5EF4-FFF2-40B4-BE49-F238E27FC236}">
              <a16:creationId xmlns:a16="http://schemas.microsoft.com/office/drawing/2014/main" id="{B3B4F9BA-BFE8-50F0-C6F1-C9D321A2CBFE}"/>
            </a:ext>
          </a:extLst>
        </xdr:cNvPr>
        <xdr:cNvSpPr txBox="1"/>
      </xdr:nvSpPr>
      <xdr:spPr>
        <a:xfrm>
          <a:off x="1162050" y="3086100"/>
          <a:ext cx="2914650" cy="11620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b="1"/>
            <a:t>How to Calculate Cost per MJ</a:t>
          </a:r>
        </a:p>
        <a:p>
          <a:r>
            <a:rPr lang="en-US" sz="1100"/>
            <a:t>1) 1 gallon of Jet-A =  6.5 lbf = 2.95 kg</a:t>
          </a:r>
        </a:p>
        <a:p>
          <a:r>
            <a:rPr lang="en-US" sz="1100"/>
            <a:t>2) 1 gallon of Jet-A = $2.73</a:t>
          </a:r>
        </a:p>
        <a:p>
          <a:r>
            <a:rPr lang="en-US" sz="1100"/>
            <a:t>3) Jet-A = $2.73 / (6.5 lbf / 2.95 kg)</a:t>
          </a:r>
          <a:r>
            <a:rPr lang="en-US" sz="1100" baseline="0"/>
            <a:t> = </a:t>
          </a:r>
          <a:r>
            <a:rPr lang="en-US" sz="1100"/>
            <a:t>$1.24/kg</a:t>
          </a:r>
        </a:p>
        <a:p>
          <a:r>
            <a:rPr lang="en-US" sz="1100"/>
            <a:t>4) Jet-A = </a:t>
          </a:r>
          <a:r>
            <a:rPr lang="en-US" sz="1100">
              <a:solidFill>
                <a:schemeClr val="dk1"/>
              </a:solidFill>
              <a:effectLst/>
              <a:latin typeface="+mn-lt"/>
              <a:ea typeface="+mn-ea"/>
              <a:cs typeface="+mn-cs"/>
            </a:rPr>
            <a:t>($1.24/kg)  / </a:t>
          </a:r>
          <a:r>
            <a:rPr lang="en-US" sz="1100"/>
            <a:t>42.8 MJ = </a:t>
          </a:r>
          <a:r>
            <a:rPr lang="en-US" sz="1100" b="1">
              <a:solidFill>
                <a:schemeClr val="accent6">
                  <a:lumMod val="75000"/>
                </a:schemeClr>
              </a:solidFill>
            </a:rPr>
            <a:t>$0.029/MJ</a:t>
          </a:r>
        </a:p>
      </xdr:txBody>
    </xdr:sp>
    <xdr:clientData/>
  </xdr:twoCellAnchor>
  <xdr:twoCellAnchor>
    <xdr:from>
      <xdr:col>1</xdr:col>
      <xdr:colOff>561975</xdr:colOff>
      <xdr:row>18</xdr:row>
      <xdr:rowOff>9525</xdr:rowOff>
    </xdr:from>
    <xdr:to>
      <xdr:col>4</xdr:col>
      <xdr:colOff>495300</xdr:colOff>
      <xdr:row>24</xdr:row>
      <xdr:rowOff>19050</xdr:rowOff>
    </xdr:to>
    <xdr:sp macro="" textlink="">
      <xdr:nvSpPr>
        <xdr:cNvPr id="3" name="TextBox 2">
          <a:extLst>
            <a:ext uri="{FF2B5EF4-FFF2-40B4-BE49-F238E27FC236}">
              <a16:creationId xmlns:a16="http://schemas.microsoft.com/office/drawing/2014/main" id="{0C63AA04-1C72-449B-B263-95B693366D16}"/>
            </a:ext>
          </a:extLst>
        </xdr:cNvPr>
        <xdr:cNvSpPr txBox="1"/>
      </xdr:nvSpPr>
      <xdr:spPr>
        <a:xfrm>
          <a:off x="1171575" y="4410075"/>
          <a:ext cx="2914650" cy="115252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b="1"/>
            <a:t>Energy Required for Narrow-Body Aircraft</a:t>
          </a:r>
        </a:p>
        <a:p>
          <a:r>
            <a:rPr lang="en-US" sz="1100"/>
            <a:t>The current Boeing 737-800 has a fuel capacity of 6,875 gallons of Jet-A fuel. This equates to approximately </a:t>
          </a:r>
          <a:r>
            <a:rPr lang="en-US" sz="1100" b="1">
              <a:solidFill>
                <a:schemeClr val="accent1">
                  <a:lumMod val="75000"/>
                </a:schemeClr>
              </a:solidFill>
            </a:rPr>
            <a:t>867,529 MJ </a:t>
          </a:r>
          <a:r>
            <a:rPr lang="en-US" sz="1100"/>
            <a:t>of energy and takes approximately </a:t>
          </a:r>
          <a:r>
            <a:rPr lang="en-US" sz="1100" b="1">
              <a:solidFill>
                <a:schemeClr val="accent1">
                  <a:lumMod val="75000"/>
                </a:schemeClr>
              </a:solidFill>
            </a:rPr>
            <a:t>26 cubic</a:t>
          </a:r>
          <a:r>
            <a:rPr lang="en-US" sz="1100" b="1" baseline="0">
              <a:solidFill>
                <a:schemeClr val="accent1">
                  <a:lumMod val="75000"/>
                </a:schemeClr>
              </a:solidFill>
            </a:rPr>
            <a:t> meters </a:t>
          </a:r>
          <a:r>
            <a:rPr lang="en-US" sz="1100"/>
            <a:t>of storage space.</a:t>
          </a:r>
          <a:endParaRPr lang="en-US" sz="1100" b="1">
            <a:solidFill>
              <a:schemeClr val="accent6">
                <a:lumMod val="75000"/>
              </a:schemeClr>
            </a:solidFill>
          </a:endParaRPr>
        </a:p>
      </xdr:txBody>
    </xdr:sp>
    <xdr:clientData/>
  </xdr:twoCellAnchor>
  <xdr:twoCellAnchor>
    <xdr:from>
      <xdr:col>4</xdr:col>
      <xdr:colOff>723899</xdr:colOff>
      <xdr:row>11</xdr:row>
      <xdr:rowOff>19049</xdr:rowOff>
    </xdr:from>
    <xdr:to>
      <xdr:col>6</xdr:col>
      <xdr:colOff>647699</xdr:colOff>
      <xdr:row>23</xdr:row>
      <xdr:rowOff>85725</xdr:rowOff>
    </xdr:to>
    <xdr:sp macro="" textlink="">
      <xdr:nvSpPr>
        <xdr:cNvPr id="4" name="TextBox 3">
          <a:hlinkClick xmlns:r="http://schemas.openxmlformats.org/officeDocument/2006/relationships" r:id="rId1"/>
          <a:extLst>
            <a:ext uri="{FF2B5EF4-FFF2-40B4-BE49-F238E27FC236}">
              <a16:creationId xmlns:a16="http://schemas.microsoft.com/office/drawing/2014/main" id="{F8588C5E-E200-457B-B049-FC637F1BEB73}"/>
            </a:ext>
          </a:extLst>
        </xdr:cNvPr>
        <xdr:cNvSpPr txBox="1"/>
      </xdr:nvSpPr>
      <xdr:spPr>
        <a:xfrm>
          <a:off x="4314824" y="3276599"/>
          <a:ext cx="2943225" cy="235267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b="1"/>
            <a:t>Calculation of Emissions (CO₂)</a:t>
          </a:r>
        </a:p>
        <a:p>
          <a:r>
            <a:rPr lang="en-US" sz="1100"/>
            <a:t>Mass</a:t>
          </a:r>
          <a:r>
            <a:rPr lang="en-US" sz="1100" baseline="0"/>
            <a:t> Emissions = Mass fuel consumed * Emissions Factor.</a:t>
          </a:r>
        </a:p>
        <a:p>
          <a:r>
            <a:rPr lang="en-US" sz="1100" baseline="0"/>
            <a:t>A typical 737-800 narrow-body aircraft burns approximately 850 gal/hr of Jet-A with an emissions factor of around 3.1. </a:t>
          </a:r>
          <a:r>
            <a:rPr lang="en-US" sz="1100" u="sng" baseline="0"/>
            <a:t>If we assume a 3 hr flight:</a:t>
          </a:r>
        </a:p>
        <a:p>
          <a:r>
            <a:rPr lang="en-US" sz="1100" u="none" baseline="0"/>
            <a:t>1) 850 gal/hr * 3 hr = 2,550 gal</a:t>
          </a:r>
        </a:p>
        <a:p>
          <a:r>
            <a:rPr lang="en-US" sz="1100" u="none" baseline="0"/>
            <a:t>2) 2,550 gal * 6.5 lb/gal = 16,575 lbf = 7,518 kg</a:t>
          </a:r>
        </a:p>
        <a:p>
          <a:r>
            <a:rPr lang="en-US" sz="1100" u="none" baseline="0"/>
            <a:t>3) 7,518 kg * 3.10 = </a:t>
          </a:r>
          <a:r>
            <a:rPr lang="en-US" sz="1100" b="1" u="none" baseline="0">
              <a:solidFill>
                <a:schemeClr val="accent6">
                  <a:lumMod val="75000"/>
                </a:schemeClr>
              </a:solidFill>
            </a:rPr>
            <a:t>23,305 kg CO₂ emissions</a:t>
          </a:r>
        </a:p>
        <a:p>
          <a:r>
            <a:rPr lang="en-US" sz="1100" b="0" i="1" u="none" baseline="0">
              <a:solidFill>
                <a:sysClr val="windowText" lastClr="000000"/>
              </a:solidFill>
            </a:rPr>
            <a:t>See: </a:t>
          </a:r>
          <a:r>
            <a:rPr lang="en-US" sz="1100" b="0" i="1" u="sng" baseline="0">
              <a:solidFill>
                <a:schemeClr val="accent1"/>
              </a:solidFill>
            </a:rPr>
            <a:t>https://www.epa.gov/sites/default/files/2015-07/documents/emission-factors_2014.pdf</a:t>
          </a: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6C77-9606-4512-8138-F90528AD3376}">
  <dimension ref="A1:M17"/>
  <sheetViews>
    <sheetView tabSelected="1" zoomScale="95" workbookViewId="0">
      <selection activeCell="M8" sqref="M8"/>
    </sheetView>
  </sheetViews>
  <sheetFormatPr defaultColWidth="9.1796875" defaultRowHeight="14.5" x14ac:dyDescent="0.35"/>
  <cols>
    <col min="1" max="1" width="17.1796875" style="1" customWidth="1"/>
    <col min="2" max="2" width="13.81640625" style="2" customWidth="1"/>
    <col min="3" max="4" width="15.453125" style="2" customWidth="1"/>
    <col min="5" max="5" width="22.26953125" style="1" bestFit="1" customWidth="1"/>
    <col min="6" max="6" width="23" style="2" customWidth="1"/>
    <col min="7" max="7" width="11.54296875" style="1" bestFit="1" customWidth="1"/>
    <col min="8" max="8" width="24.26953125" style="1" customWidth="1"/>
    <col min="9" max="9" width="12.453125" style="1" bestFit="1" customWidth="1"/>
    <col min="10" max="10" width="10.54296875" style="1" customWidth="1"/>
    <col min="11" max="11" width="12" style="1" customWidth="1"/>
    <col min="12" max="12" width="21" style="1" customWidth="1"/>
    <col min="13" max="13" width="54" style="1" customWidth="1"/>
    <col min="14" max="16384" width="9.1796875" style="1"/>
  </cols>
  <sheetData>
    <row r="1" spans="1:13" ht="51.75" customHeight="1" x14ac:dyDescent="0.35">
      <c r="K1" s="24" t="s">
        <v>18</v>
      </c>
      <c r="L1" s="24"/>
    </row>
    <row r="2" spans="1:13" ht="15.75" customHeight="1" thickBot="1" x14ac:dyDescent="0.4">
      <c r="K2" s="25"/>
      <c r="L2" s="25"/>
    </row>
    <row r="3" spans="1:13" s="3" customFormat="1" ht="58" x14ac:dyDescent="0.35">
      <c r="B3" s="13" t="s">
        <v>2</v>
      </c>
      <c r="C3" s="14" t="s">
        <v>11</v>
      </c>
      <c r="D3" s="14" t="s">
        <v>10</v>
      </c>
      <c r="E3" s="14" t="s">
        <v>13</v>
      </c>
      <c r="F3" s="14" t="s">
        <v>3</v>
      </c>
      <c r="G3" s="14" t="s">
        <v>9</v>
      </c>
      <c r="H3" s="14" t="s">
        <v>6</v>
      </c>
      <c r="I3" s="14" t="s">
        <v>14</v>
      </c>
      <c r="J3" s="14" t="s">
        <v>15</v>
      </c>
      <c r="K3" s="21" t="s">
        <v>24</v>
      </c>
      <c r="L3" s="21" t="s">
        <v>30</v>
      </c>
      <c r="M3" s="15" t="s">
        <v>1</v>
      </c>
    </row>
    <row r="4" spans="1:13" ht="58" x14ac:dyDescent="0.35">
      <c r="B4" s="16" t="s">
        <v>0</v>
      </c>
      <c r="C4" s="2">
        <v>0.77900000000000003</v>
      </c>
      <c r="D4" s="2">
        <v>42.8</v>
      </c>
      <c r="E4" s="6" t="s">
        <v>5</v>
      </c>
      <c r="F4" s="2" t="s">
        <v>4</v>
      </c>
      <c r="G4" s="4">
        <f>2.73/(6.5/2.95)/D4</f>
        <v>2.8948598130841125E-2</v>
      </c>
      <c r="H4" s="5">
        <f>((867529/D4)/C4)*0.001</f>
        <v>26.01972934387485</v>
      </c>
      <c r="I4" s="5">
        <f>9.75/3.78541178</f>
        <v>2.5756775132136349</v>
      </c>
      <c r="J4" s="17">
        <f>I4/(D4*C4)</f>
        <v>7.7252093902248117E-2</v>
      </c>
      <c r="K4" s="5">
        <f>C4*(H4*1000)</f>
        <v>20269.369158878508</v>
      </c>
      <c r="L4" s="2" t="s">
        <v>41</v>
      </c>
      <c r="M4" s="7" t="s">
        <v>42</v>
      </c>
    </row>
    <row r="5" spans="1:13" ht="43.5" x14ac:dyDescent="0.35">
      <c r="A5" s="23" t="s">
        <v>16</v>
      </c>
      <c r="B5" s="22" t="s">
        <v>7</v>
      </c>
      <c r="C5" s="2">
        <v>2.5</v>
      </c>
      <c r="D5" s="2">
        <f>130*0.0036</f>
        <v>0.46799999999999997</v>
      </c>
      <c r="E5" s="1" t="s">
        <v>26</v>
      </c>
      <c r="F5" s="2" t="s">
        <v>29</v>
      </c>
      <c r="G5" s="27">
        <v>15.8</v>
      </c>
      <c r="H5" s="5">
        <f>((867529/D5)/C5)*0.001</f>
        <v>741.47777777777776</v>
      </c>
      <c r="I5" s="17">
        <f>(0.15/130)*2.5</f>
        <v>2.8846153846153843E-3</v>
      </c>
      <c r="J5" s="17">
        <f t="shared" ref="J5:J10" si="0">I5/(D5*C5)</f>
        <v>2.465483234714004E-3</v>
      </c>
      <c r="K5" s="5">
        <f t="shared" ref="K5:K10" si="1">C5*(H5*1000)</f>
        <v>1853694.4444444445</v>
      </c>
      <c r="L5" s="2" t="s">
        <v>40</v>
      </c>
      <c r="M5" s="8" t="s">
        <v>22</v>
      </c>
    </row>
    <row r="6" spans="1:13" ht="43.5" x14ac:dyDescent="0.35">
      <c r="A6" s="23"/>
      <c r="B6" s="22" t="s">
        <v>8</v>
      </c>
      <c r="C6" s="2">
        <v>0.8</v>
      </c>
      <c r="D6" s="2">
        <v>43</v>
      </c>
      <c r="E6" s="6" t="s">
        <v>5</v>
      </c>
      <c r="F6" s="2" t="s">
        <v>34</v>
      </c>
      <c r="G6" s="4">
        <f>((5/3.78541178)/C6)/D6</f>
        <v>3.8397100674025568E-2</v>
      </c>
      <c r="H6" s="5">
        <f t="shared" ref="H6:H10" si="2">((867529/D6)/C6)*0.001</f>
        <v>25.218866279069765</v>
      </c>
      <c r="I6" s="5">
        <f>9.4/3.78541178</f>
        <v>2.4832172947905815</v>
      </c>
      <c r="J6" s="17">
        <f t="shared" si="0"/>
        <v>7.2186549267168068E-2</v>
      </c>
      <c r="K6" s="5">
        <f t="shared" si="1"/>
        <v>20175.093023255813</v>
      </c>
      <c r="L6" s="2" t="s">
        <v>31</v>
      </c>
      <c r="M6" s="8" t="s">
        <v>35</v>
      </c>
    </row>
    <row r="7" spans="1:13" ht="29" x14ac:dyDescent="0.35">
      <c r="A7" s="23"/>
      <c r="B7" s="22" t="s">
        <v>12</v>
      </c>
      <c r="C7" s="2">
        <v>7.0999999999999994E-2</v>
      </c>
      <c r="D7" s="2">
        <v>131</v>
      </c>
      <c r="E7" s="6" t="s">
        <v>39</v>
      </c>
      <c r="F7" s="2" t="s">
        <v>27</v>
      </c>
      <c r="G7" s="4">
        <f>4/D7</f>
        <v>3.0534351145038167E-2</v>
      </c>
      <c r="H7" s="5">
        <f t="shared" si="2"/>
        <v>93.272658853886696</v>
      </c>
      <c r="I7" s="5">
        <v>0</v>
      </c>
      <c r="J7" s="17">
        <f t="shared" si="0"/>
        <v>0</v>
      </c>
      <c r="K7" s="5">
        <f t="shared" si="1"/>
        <v>6622.358778625955</v>
      </c>
      <c r="L7" s="2" t="s">
        <v>31</v>
      </c>
      <c r="M7" s="8" t="s">
        <v>44</v>
      </c>
    </row>
    <row r="8" spans="1:13" ht="72.5" x14ac:dyDescent="0.35">
      <c r="A8" s="23" t="s">
        <v>17</v>
      </c>
      <c r="B8" s="19" t="s">
        <v>23</v>
      </c>
      <c r="C8" s="2">
        <v>6.5</v>
      </c>
      <c r="D8" s="2">
        <v>3852</v>
      </c>
      <c r="E8" s="1" t="s">
        <v>20</v>
      </c>
      <c r="F8" s="2" t="s">
        <v>28</v>
      </c>
      <c r="G8" s="27">
        <f>1500/3.6</f>
        <v>416.66666666666663</v>
      </c>
      <c r="H8" s="5">
        <f t="shared" si="2"/>
        <v>3.4648494288681206E-2</v>
      </c>
      <c r="I8" s="5">
        <v>0</v>
      </c>
      <c r="J8" s="17">
        <f t="shared" si="0"/>
        <v>0</v>
      </c>
      <c r="K8" s="5">
        <f t="shared" si="1"/>
        <v>225.21521287642784</v>
      </c>
      <c r="L8" s="2" t="s">
        <v>32</v>
      </c>
      <c r="M8" s="8" t="s">
        <v>38</v>
      </c>
    </row>
    <row r="9" spans="1:13" ht="45.5" x14ac:dyDescent="0.35">
      <c r="A9" s="23"/>
      <c r="B9" s="19" t="s">
        <v>19</v>
      </c>
      <c r="C9" s="2">
        <v>0.45500000000000002</v>
      </c>
      <c r="D9" s="2">
        <v>55</v>
      </c>
      <c r="E9" s="1" t="s">
        <v>25</v>
      </c>
      <c r="F9" s="2" t="s">
        <v>27</v>
      </c>
      <c r="G9" s="4">
        <f>18.45/1055.055853</f>
        <v>1.7487225863482319E-2</v>
      </c>
      <c r="H9" s="5">
        <f t="shared" si="2"/>
        <v>34.666493506493509</v>
      </c>
      <c r="I9" s="5">
        <f>4.46/3.78541178</f>
        <v>1.1782073547623397</v>
      </c>
      <c r="J9" s="17">
        <f t="shared" si="0"/>
        <v>4.7081212977516072E-2</v>
      </c>
      <c r="K9" s="5">
        <f t="shared" si="1"/>
        <v>15773.254545454549</v>
      </c>
      <c r="L9" s="2" t="s">
        <v>37</v>
      </c>
      <c r="M9" s="8" t="s">
        <v>43</v>
      </c>
    </row>
    <row r="10" spans="1:13" ht="29.5" thickBot="1" x14ac:dyDescent="0.4">
      <c r="A10" s="23"/>
      <c r="B10" s="20" t="s">
        <v>21</v>
      </c>
      <c r="C10" s="9">
        <v>0.82</v>
      </c>
      <c r="D10" s="9">
        <v>43</v>
      </c>
      <c r="E10" s="26" t="s">
        <v>5</v>
      </c>
      <c r="F10" s="9" t="s">
        <v>27</v>
      </c>
      <c r="G10" s="10">
        <f>5500/907.18474/D10</f>
        <v>0.14099330721125891</v>
      </c>
      <c r="H10" s="11">
        <f t="shared" si="2"/>
        <v>24.603771979580262</v>
      </c>
      <c r="I10" s="11">
        <f>1.33/3.78541178</f>
        <v>0.35134883000760359</v>
      </c>
      <c r="J10" s="18">
        <f t="shared" si="0"/>
        <v>9.9645158822349294E-3</v>
      </c>
      <c r="K10" s="11">
        <f t="shared" si="1"/>
        <v>20175.093023255813</v>
      </c>
      <c r="L10" s="9" t="s">
        <v>33</v>
      </c>
      <c r="M10" s="12" t="s">
        <v>36</v>
      </c>
    </row>
    <row r="11" spans="1:13" x14ac:dyDescent="0.35">
      <c r="G11" s="4"/>
      <c r="H11" s="5"/>
      <c r="I11" s="5"/>
      <c r="J11" s="5"/>
      <c r="K11" s="5"/>
    </row>
    <row r="12" spans="1:13" x14ac:dyDescent="0.35">
      <c r="G12" s="4"/>
      <c r="H12" s="5"/>
      <c r="J12" s="5"/>
      <c r="K12" s="5"/>
    </row>
    <row r="13" spans="1:13" x14ac:dyDescent="0.35">
      <c r="H13" s="5"/>
      <c r="I13" s="5"/>
      <c r="J13" s="5"/>
      <c r="K13" s="5"/>
    </row>
    <row r="14" spans="1:13" x14ac:dyDescent="0.35">
      <c r="H14" s="5"/>
      <c r="I14" s="5"/>
      <c r="J14" s="5"/>
      <c r="K14" s="5"/>
    </row>
    <row r="15" spans="1:13" x14ac:dyDescent="0.35">
      <c r="H15" s="2"/>
      <c r="I15" s="2"/>
      <c r="J15" s="2"/>
      <c r="K15" s="2"/>
    </row>
    <row r="16" spans="1:13" x14ac:dyDescent="0.35">
      <c r="H16" s="2"/>
      <c r="I16" s="2"/>
      <c r="J16" s="2"/>
      <c r="K16" s="2"/>
    </row>
    <row r="17" spans="8:11" x14ac:dyDescent="0.35">
      <c r="H17" s="2"/>
      <c r="I17" s="2"/>
      <c r="J17" s="2"/>
      <c r="K17" s="2"/>
    </row>
  </sheetData>
  <mergeCells count="3">
    <mergeCell ref="A5:A7"/>
    <mergeCell ref="A8:A10"/>
    <mergeCell ref="K1:L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Convergent Dynamics LLC</dc:creator>
  <cp:lastModifiedBy>Michael Parks Boswell</cp:lastModifiedBy>
  <dcterms:created xsi:type="dcterms:W3CDTF">2022-12-18T07:25:04Z</dcterms:created>
  <dcterms:modified xsi:type="dcterms:W3CDTF">2026-07-09T00:59:07Z</dcterms:modified>
</cp:coreProperties>
</file>